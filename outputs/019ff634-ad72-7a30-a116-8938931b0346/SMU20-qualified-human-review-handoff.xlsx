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27f419df2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Guide" sheetId="1" r:id="Rb56a79bb538f4656"/>
    <x:sheet xmlns:r="http://schemas.openxmlformats.org/officeDocument/2006/relationships" name="Candidates" sheetId="2" r:id="Re6b50f2498b84104"/>
    <x:sheet xmlns:r="http://schemas.openxmlformats.org/officeDocument/2006/relationships" name="Spot Checks" sheetId="3" r:id="R74a0a255ba574487"/>
    <x:sheet xmlns:r="http://schemas.openxmlformats.org/officeDocument/2006/relationships" name="Tolerance" sheetId="4" r:id="R04bd8496e57f4a00"/>
    <x:sheet xmlns:r="http://schemas.openxmlformats.org/officeDocument/2006/relationships" name="Sources" sheetId="5" r:id="Rd05efaa88b30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%"/>
    <x:numFmt numFmtId="201" formatCode="0.000000"/>
    <x:numFmt numFmtId="202" formatCode="0.0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0071c2c4c4cee" /><Relationship Type="http://schemas.openxmlformats.org/officeDocument/2006/relationships/theme" Target="/xl/theme/theme1.xml" Id="Rbf4606a80e06483c" /><Relationship Type="http://schemas.openxmlformats.org/officeDocument/2006/relationships/sharedStrings" Target="/xl/sharedStrings.xml" Id="Ra11e5074c3d34f19" /><Relationship Type="http://schemas.openxmlformats.org/officeDocument/2006/relationships/worksheet" Target="/xl/worksheets/sheet1.xml" Id="Rb56a79bb538f4656" /><Relationship Type="http://schemas.openxmlformats.org/officeDocument/2006/relationships/worksheet" Target="/xl/worksheets/sheet2.xml" Id="Re6b50f2498b84104" /><Relationship Type="http://schemas.openxmlformats.org/officeDocument/2006/relationships/worksheet" Target="/xl/worksheets/sheet3.xml" Id="R74a0a255ba574487" /><Relationship Type="http://schemas.openxmlformats.org/officeDocument/2006/relationships/worksheet" Target="/xl/worksheets/sheet4.xml" Id="R04bd8496e57f4a00" /><Relationship Type="http://schemas.openxmlformats.org/officeDocument/2006/relationships/worksheet" Target="/xl/worksheets/sheet5.xml" Id="Rd05efaa88b304c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31" hidden="0" customWidth="1"/>
    <x:col min="4" max="4" width="31" hidden="0" customWidth="1"/>
    <x:col min="5" max="5" width="16" hidden="0" customWidth="1"/>
    <x:col min="6" max="6" width="16" hidden="0" customWidth="1"/>
  </x:cols>
  <x:sheetData>
    <x:row r="1" ht="30" customHeight="1">
      <x:c r="A1" s="3" t="str">
        <x:v>SMU-20 Qualified Human Review Handoff</x:v>
      </x:c>
      <x:c r="B1" s="3" t="str">
        <x:v>SMU-20 Qualified Human Review Handoff</x:v>
      </x:c>
      <x:c r="C1" s="3" t="str">
        <x:v>SMU-20 Qualified Human Review Handoff</x:v>
      </x:c>
      <x:c r="D1" s="3" t="str">
        <x:v>SMU-20 Qualified Human Review Handoff</x:v>
      </x:c>
      <x:c r="E1" s="3" t="str">
        <x:v>SMU-20 Qualified Human Review Handoff</x:v>
      </x:c>
      <x:c r="F1" s="3" t="str">
        <x:v>SMU-20 Qualified Human Review Handoff</x:v>
      </x:c>
    </x:row>
    <x:row r="2" ht="34" customHeight="1">
      <x:c r="A2" s="7" t="str">
        <x:v>Technical candidate package only — not licensed-engineer approval, not calculation-ready promotion, and not authorization for coordination settings or arc-flash labels.</x:v>
      </x:c>
      <x:c r="B2" s="7" t="str">
        <x:v>Technical candidate package only — not licensed-engineer approval, not calculation-ready promotion, and not authorization for coordination settings or arc-flash labels.</x:v>
      </x:c>
      <x:c r="C2" s="7" t="str">
        <x:v>Technical candidate package only — not licensed-engineer approval, not calculation-ready promotion, and not authorization for coordination settings or arc-flash labels.</x:v>
      </x:c>
      <x:c r="D2" s="7" t="str">
        <x:v>Technical candidate package only — not licensed-engineer approval, not calculation-ready promotion, and not authorization for coordination settings or arc-flash labels.</x:v>
      </x:c>
      <x:c r="E2" s="7" t="str">
        <x:v>Technical candidate package only — not licensed-engineer approval, not calculation-ready promotion, and not authorization for coordination settings or arc-flash labels.</x:v>
      </x:c>
      <x:c r="F2" s="7" t="str">
        <x:v>Technical candidate package only — not licensed-engineer approval, not calculation-ready promotion, and not authorization for coordination settings or arc-flash labels.</x:v>
      </x:c>
    </x:row>
    <x:row r="4" ht="15" hidden="0" customHeight="1">
      <x:c r="A4" s="11" t="str">
        <x:v>Package field</x:v>
      </x:c>
      <x:c r="B4" s="11" t="str">
        <x:v>Value</x:v>
      </x:c>
    </x:row>
    <x:row r="5" ht="26.399999618530273" hidden="0" customHeight="1">
      <x:c r="A5" s="14" t="str">
        <x:v>Candidate file</x:v>
      </x:c>
      <x:c r="B5" s="14" t="str">
        <x:v>docs/protective-device-research-candidates-smu20-2026-08-12.json</x:v>
      </x:c>
    </x:row>
    <x:row r="6" ht="15" hidden="0" customHeight="1">
      <x:c r="A6" s="14" t="str">
        <x:v>Candidate count</x:v>
      </x:c>
      <x:c r="B6" s="14" t="n">
        <x:v>3</x:v>
      </x:c>
    </x:row>
    <x:row r="7" ht="15" hidden="0" customHeight="1">
      <x:c r="A7" s="14" t="str">
        <x:v>Ratings</x:v>
      </x:c>
      <x:c r="B7" s="14" t="str">
        <x:v>25E, 65E, 100E</x:v>
      </x:c>
    </x:row>
    <x:row r="8" ht="15" hidden="0" customHeight="1">
      <x:c r="A8" s="14" t="str">
        <x:v>Manufacturer points</x:v>
      </x:c>
      <x:c r="B8" s="14" t="n">
        <x:v>522</x:v>
      </x:c>
    </x:row>
    <x:row r="9" ht="15" hidden="0" customHeight="1">
      <x:c r="A9" s="14" t="str">
        <x:v>Automated spot checks</x:v>
      </x:c>
      <x:c r="B9" s="14" t="n">
        <x:v>18</x:v>
      </x:c>
    </x:row>
    <x:row r="10" ht="15" hidden="0" customHeight="1">
      <x:c r="A10" s="14" t="str">
        <x:v>Research status</x:v>
      </x:c>
      <x:c r="B10" s="14" t="str">
        <x:v>candidate</x:v>
      </x:c>
    </x:row>
    <x:row r="11" ht="15" hidden="0" customHeight="1">
      <x:c r="A11" s="14" t="str">
        <x:v>Library status</x:v>
      </x:c>
      <x:c r="B11" s="14" t="str">
        <x:v>screening</x:v>
      </x:c>
    </x:row>
    <x:row r="12" ht="26.399999618530273" hidden="0" customHeight="1">
      <x:c r="A12" s="14" t="str">
        <x:v>Remaining production gate</x:v>
      </x:c>
      <x:c r="B12" s="14" t="str">
        <x:v>Independent qualified human review</x:v>
      </x:c>
    </x:row>
    <x:row r="13"/>
    <x:row r="14" ht="15" hidden="0" customHeight="1">
      <x:c r="A14" s="11" t="str">
        <x:v>Source identity resolution</x:v>
      </x:c>
      <x:c r="B14" s="11"/>
      <x:c r="C14" s="11"/>
      <x:c r="D14" s="11"/>
      <x:c r="E14" s="11"/>
      <x:c r="F14" s="11"/>
    </x:row>
    <x:row r="15" ht="15" hidden="0" customHeight="1">
      <x:c r="A15" s="14" t="str">
        <x:v>Bulletin 242-31 is the direct SMD-20/SMU-20 outdoor ordering bulletin and is used for catalog and application provenance.</x:v>
      </x:c>
      <x:c r="B15" s="14"/>
      <x:c r="C15" s="14"/>
      <x:c r="D15" s="14"/>
      <x:c r="E15" s="14"/>
      <x:c r="F15" s="14"/>
    </x:row>
    <x:row r="16" ht="15" hidden="0" customHeight="1">
      <x:c r="A16" s="14" t="str">
        <x:v>Bulletin 665-31 is a PME pad-mounted-gear bulletin. It is retained as a cross-application source only and is excluded from direct catalog/application field mappings.</x:v>
      </x:c>
      <x:c r="B16" s="14"/>
      <x:c r="C16" s="14"/>
      <x:c r="D16" s="14"/>
      <x:c r="E16" s="14"/>
      <x:c r="F16" s="14"/>
    </x:row>
    <x:row r="17"/>
    <x:row r="18" ht="15" hidden="0" customHeight="1">
      <x:c r="A18" s="11" t="str">
        <x:v>Qualified reviewer checklist</x:v>
      </x:c>
      <x:c r="B18" s="11"/>
      <x:c r="C18" s="11"/>
      <x:c r="D18" s="11"/>
      <x:c r="E18" s="11"/>
      <x:c r="F18" s="11"/>
    </x:row>
    <x:row r="19" ht="15" hidden="0" customHeight="1">
      <x:c r="A19" s="11" t="str">
        <x:v>Review item</x:v>
      </x:c>
      <x:c r="B19" s="11" t="str">
        <x:v>Automated package status</x:v>
      </x:c>
      <x:c r="C19" s="11" t="str">
        <x:v>Evidence location</x:v>
      </x:c>
      <x:c r="D19" s="11" t="str">
        <x:v>Qualified reviewer action</x:v>
      </x:c>
      <x:c r="E19" s="11" t="str">
        <x:v>Reviewer</x:v>
      </x:c>
      <x:c r="F19" s="11" t="str">
        <x:v>Review date</x:v>
      </x:c>
    </x:row>
    <x:row r="20" ht="26.399999618530273" hidden="0" customHeight="1">
      <x:c r="A20" s="14" t="str">
        <x:v>Catalog/application identity</x:v>
      </x:c>
      <x:c r="B20" s="15" t="str">
        <x:v>READY FOR REVIEW</x:v>
      </x:c>
      <x:c r="C20" s="14" t="str">
        <x:v>Candidates + Sources</x:v>
      </x:c>
      <x:c r="D20" s="14" t="str">
        <x:v>Confirm 242-31 applicability and catalog mapping.</x:v>
      </x:c>
      <x:c r="E20" s="16" t="str"/>
      <x:c r="F20" s="16" t="str"/>
    </x:row>
    <x:row r="21" ht="39.599998474121094" hidden="0" customHeight="1">
      <x:c r="A21" s="14" t="str">
        <x:v>Standards editions</x:v>
      </x:c>
      <x:c r="B21" s="15" t="str">
        <x:v>READY FOR REVIEW</x:v>
      </x:c>
      <x:c r="C21" s="14" t="str">
        <x:v>Candidates + Sources</x:v>
      </x:c>
      <x:c r="D21" s="14" t="str">
        <x:v>Confirm derived C37.41-2016/C37.46-2010 edition mapping and current project basis.</x:v>
      </x:c>
      <x:c r="E21" s="16" t="str"/>
      <x:c r="F21" s="16" t="str"/>
    </x:row>
    <x:row r="22" ht="26.399999618530273" hidden="0" customHeight="1">
      <x:c r="A22" s="14" t="str">
        <x:v>Curve transcription</x:v>
      </x:c>
      <x:c r="B22" s="15" t="str">
        <x:v>PASS — 522 points retained</x:v>
      </x:c>
      <x:c r="C22" s="14" t="str">
        <x:v>Spot Checks</x:v>
      </x:c>
      <x:c r="D22" s="14" t="str">
        <x:v>Independently compare representative points to official spreadsheets/PDF plots.</x:v>
      </x:c>
      <x:c r="E22" s="16" t="str"/>
      <x:c r="F22" s="16" t="str"/>
    </x:row>
    <x:row r="23" ht="26.399999618530273" hidden="0" customHeight="1">
      <x:c r="A23" s="14" t="str">
        <x:v>Tolerance semantics</x:v>
      </x:c>
      <x:c r="B23" s="15" t="str">
        <x:v>READY FOR REVIEW</x:v>
      </x:c>
      <x:c r="C23" s="14" t="str">
        <x:v>Tolerance</x:v>
      </x:c>
      <x:c r="D23" s="14" t="str">
        <x:v>Confirm minimum-melt plus-current and total-clearing minus-only interpretation.</x:v>
      </x:c>
      <x:c r="E23" s="16" t="str"/>
      <x:c r="F23" s="16" t="str"/>
    </x:row>
    <x:row r="24" ht="26.399999618530273" hidden="0" customHeight="1">
      <x:c r="A24" s="14" t="str">
        <x:v>Runtime boundary policy</x:v>
      </x:c>
      <x:c r="B24" s="15" t="str">
        <x:v>PASS — bounded evaluator</x:v>
      </x:c>
      <x:c r="C24" s="14" t="str">
        <x:v>Candidates + Spot Checks</x:v>
      </x:c>
      <x:c r="D24" s="14" t="str">
        <x:v>Confirm lower/upper boundary selection is suitable for intended study workflow.</x:v>
      </x:c>
      <x:c r="E24" s="16" t="str"/>
      <x:c r="F24" s="16" t="str"/>
    </x:row>
    <x:row r="25" ht="39.599998474121094" hidden="0" customHeight="1">
      <x:c r="A25" s="14" t="str">
        <x:v>Promotion decision</x:v>
      </x:c>
      <x:c r="B25" s="15" t="str">
        <x:v>NOT AUTHORIZED</x:v>
      </x:c>
      <x:c r="C25" s="14" t="str">
        <x:v>Candidate JSON review block</x:v>
      </x:c>
      <x:c r="D25" s="14" t="str">
        <x:v>Only after all checks: set reviewed status/reviewer/date and approve controlled canonical replacement.</x:v>
      </x:c>
      <x:c r="E25" s="16" t="str"/>
      <x:c r="F25" s="16" t="str"/>
    </x:row>
  </x:sheetData>
  <x:mergeCells>
    <x:mergeCell ref="A1:F1"/>
    <x:mergeCell ref="A2:F2"/>
    <x:mergeCell ref="A14:F14"/>
    <x:mergeCell ref="A15:F15"/>
    <x:mergeCell ref="A16:F16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</x:cols>
  <x:sheetData>
    <x:row r="1" ht="30" customHeight="1">
      <x:c r="A1" s="3" t="str">
        <x:v>SMU-20 Candidate Matrix</x:v>
      </x:c>
      <x:c r="B1" s="3" t="str">
        <x:v>SMU-20 Candidate Matrix</x:v>
      </x:c>
      <x:c r="C1" s="3" t="str">
        <x:v>SMU-20 Candidate Matrix</x:v>
      </x:c>
      <x:c r="D1" s="3" t="str">
        <x:v>SMU-20 Candidate Matrix</x:v>
      </x:c>
      <x:c r="E1" s="3" t="str">
        <x:v>SMU-20 Candidate Matrix</x:v>
      </x:c>
      <x:c r="F1" s="3" t="str">
        <x:v>SMU-20 Candidate Matrix</x:v>
      </x:c>
      <x:c r="G1" s="3" t="str">
        <x:v>SMU-20 Candidate Matrix</x:v>
      </x:c>
      <x:c r="H1" s="3" t="str">
        <x:v>SMU-20 Candidate Matrix</x:v>
      </x:c>
      <x:c r="I1" s="3" t="str">
        <x:v>SMU-20 Candidate Matrix</x:v>
      </x:c>
      <x:c r="J1" s="3" t="str">
        <x:v>SMU-20 Candidate Matrix</x:v>
      </x:c>
      <x:c r="K1" s="3" t="str">
        <x:v>SMU-20 Candidate Matrix</x:v>
      </x:c>
      <x:c r="L1" s="3" t="str">
        <x:v>SMU-20 Candidate Matrix</x:v>
      </x:c>
    </x:row>
    <x:row r="2" ht="34" customHeight="1">
      <x:c r="A2" s="7" t="str">
        <x:v>One row per governed screening candidate. Formula columns reconcile the supporting spot-check sheet.</x:v>
      </x:c>
      <x:c r="B2" s="7" t="str">
        <x:v>One row per governed screening candidate. Formula columns reconcile the supporting spot-check sheet.</x:v>
      </x:c>
      <x:c r="C2" s="7" t="str">
        <x:v>One row per governed screening candidate. Formula columns reconcile the supporting spot-check sheet.</x:v>
      </x:c>
      <x:c r="D2" s="7" t="str">
        <x:v>One row per governed screening candidate. Formula columns reconcile the supporting spot-check sheet.</x:v>
      </x:c>
      <x:c r="E2" s="7" t="str">
        <x:v>One row per governed screening candidate. Formula columns reconcile the supporting spot-check sheet.</x:v>
      </x:c>
      <x:c r="F2" s="7" t="str">
        <x:v>One row per governed screening candidate. Formula columns reconcile the supporting spot-check sheet.</x:v>
      </x:c>
      <x:c r="G2" s="7" t="str">
        <x:v>One row per governed screening candidate. Formula columns reconcile the supporting spot-check sheet.</x:v>
      </x:c>
      <x:c r="H2" s="7" t="str">
        <x:v>One row per governed screening candidate. Formula columns reconcile the supporting spot-check sheet.</x:v>
      </x:c>
      <x:c r="I2" s="7" t="str">
        <x:v>One row per governed screening candidate. Formula columns reconcile the supporting spot-check sheet.</x:v>
      </x:c>
      <x:c r="J2" s="7" t="str">
        <x:v>One row per governed screening candidate. Formula columns reconcile the supporting spot-check sheet.</x:v>
      </x:c>
      <x:c r="K2" s="7" t="str">
        <x:v>One row per governed screening candidate. Formula columns reconcile the supporting spot-check sheet.</x:v>
      </x:c>
      <x:c r="L2" s="7" t="str">
        <x:v>One row per governed screening candidate. Formula columns reconcile the supporting spot-check sheet.</x:v>
      </x:c>
    </x:row>
    <x:row r="4" ht="15" hidden="0" customHeight="1">
      <x:c r="A4" s="11" t="str">
        <x:v>Candidate ID</x:v>
      </x:c>
      <x:c r="B4" s="11" t="str">
        <x:v>Rating</x:v>
      </x:c>
      <x:c r="C4" s="11" t="str">
        <x:v>Catalog</x:v>
      </x:c>
      <x:c r="D4" s="11" t="str">
        <x:v>Nominal kV</x:v>
      </x:c>
      <x:c r="E4" s="11" t="str">
        <x:v>Frequencies</x:v>
      </x:c>
      <x:c r="F4" s="11" t="str">
        <x:v>Poles</x:v>
      </x:c>
      <x:c r="G4" s="11" t="str">
        <x:v>Curve points</x:v>
      </x:c>
      <x:c r="H4" s="11" t="str">
        <x:v>Spot checks</x:v>
      </x:c>
      <x:c r="I4" s="11" t="str">
        <x:v>Max relative error</x:v>
      </x:c>
      <x:c r="J4" s="11" t="str">
        <x:v>Research status</x:v>
      </x:c>
      <x:c r="K4" s="11" t="str">
        <x:v>Library status</x:v>
      </x:c>
      <x:c r="L4" s="11" t="str">
        <x:v>Production gate</x:v>
      </x:c>
    </x:row>
    <x:row r="5" ht="15" hidden="0" customHeight="1">
      <x:c r="A5" s="14" t="str">
        <x:v>sc_smu20_25e_standard_14kv</x:v>
      </x:c>
      <x:c r="B5" s="14" t="str">
        <x:v>25E</x:v>
      </x:c>
      <x:c r="C5" s="14" t="str">
        <x:v>612025</x:v>
      </x:c>
      <x:c r="D5" s="14" t="n">
        <x:v>14.4</x:v>
      </x:c>
      <x:c r="E5" s="14" t="str">
        <x:v>50/60</x:v>
      </x:c>
      <x:c r="F5" s="14" t="str">
        <x:v>1</x:v>
      </x:c>
      <x:c r="G5" s="14" t="n">
        <x:v>174</x:v>
      </x:c>
      <x:c r="H5" s="14" t="n">
        <x:f>COUNTIF('Spot Checks'!$A$5:$A$22,A5)</x:f>
        <x:v>6</x:v>
      </x:c>
      <x:c r="I5" s="17" t="n">
        <x:f>MAXIFS('Spot Checks'!$H$5:$H$22,'Spot Checks'!$A$5:$A$22,A5)</x:f>
        <x:v>0</x:v>
      </x:c>
      <x:c r="J5" s="15" t="str">
        <x:v>candidate</x:v>
      </x:c>
      <x:c r="K5" s="15" t="str">
        <x:v>screening</x:v>
      </x:c>
      <x:c r="L5" s="18" t="str">
        <x:v>independent engineering review</x:v>
      </x:c>
    </x:row>
    <x:row r="6" ht="15" hidden="0" customHeight="1">
      <x:c r="A6" s="14" t="str">
        <x:v>sc_smu20_65e_standard_14kv</x:v>
      </x:c>
      <x:c r="B6" s="14" t="str">
        <x:v>65E</x:v>
      </x:c>
      <x:c r="C6" s="14" t="str">
        <x:v>612065</x:v>
      </x:c>
      <x:c r="D6" s="14" t="n">
        <x:v>14.4</x:v>
      </x:c>
      <x:c r="E6" s="14" t="str">
        <x:v>50/60</x:v>
      </x:c>
      <x:c r="F6" s="14" t="str">
        <x:v>1</x:v>
      </x:c>
      <x:c r="G6" s="14" t="n">
        <x:v>174</x:v>
      </x:c>
      <x:c r="H6" s="14" t="n">
        <x:f>COUNTIF('Spot Checks'!$A$5:$A$22,A6)</x:f>
        <x:v>6</x:v>
      </x:c>
      <x:c r="I6" s="17" t="n">
        <x:f>MAXIFS('Spot Checks'!$H$5:$H$22,'Spot Checks'!$A$5:$A$22,A6)</x:f>
        <x:v>0</x:v>
      </x:c>
      <x:c r="J6" s="15" t="str">
        <x:v>candidate</x:v>
      </x:c>
      <x:c r="K6" s="15" t="str">
        <x:v>screening</x:v>
      </x:c>
      <x:c r="L6" s="18" t="str">
        <x:v>independent engineering review</x:v>
      </x:c>
    </x:row>
    <x:row r="7" ht="15" hidden="0" customHeight="1">
      <x:c r="A7" s="14" t="str">
        <x:v>sc_smu20_100e_standard_14kv</x:v>
      </x:c>
      <x:c r="B7" s="14" t="str">
        <x:v>100E</x:v>
      </x:c>
      <x:c r="C7" s="14" t="str">
        <x:v>612100</x:v>
      </x:c>
      <x:c r="D7" s="14" t="n">
        <x:v>14.4</x:v>
      </x:c>
      <x:c r="E7" s="14" t="str">
        <x:v>50/60</x:v>
      </x:c>
      <x:c r="F7" s="14" t="str">
        <x:v>1</x:v>
      </x:c>
      <x:c r="G7" s="14" t="n">
        <x:v>174</x:v>
      </x:c>
      <x:c r="H7" s="14" t="n">
        <x:f>COUNTIF('Spot Checks'!$A$5:$A$22,A7)</x:f>
        <x:v>6</x:v>
      </x:c>
      <x:c r="I7" s="17" t="n">
        <x:f>MAXIFS('Spot Checks'!$H$5:$H$22,'Spot Checks'!$A$5:$A$22,A7)</x:f>
        <x:v>0</x:v>
      </x:c>
      <x:c r="J7" s="15" t="str">
        <x:v>candidate</x:v>
      </x:c>
      <x:c r="K7" s="15" t="str">
        <x:v>screening</x:v>
      </x:c>
      <x:c r="L7" s="18" t="str">
        <x:v>independent engineering review</x:v>
      </x:c>
    </x:row>
    <x:row r="8"/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  <x:col min="3" max="3" width="18" hidden="0" customWidth="1"/>
    <x:col min="4" max="4" width="2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 t="str">
        <x:v>Automated Source-Point Spot Checks</x:v>
      </x:c>
      <x:c r="B1" s="3" t="str">
        <x:v>Automated Source-Point Spot Checks</x:v>
      </x:c>
      <x:c r="C1" s="3" t="str">
        <x:v>Automated Source-Point Spot Checks</x:v>
      </x:c>
      <x:c r="D1" s="3" t="str">
        <x:v>Automated Source-Point Spot Checks</x:v>
      </x:c>
      <x:c r="E1" s="3" t="str">
        <x:v>Automated Source-Point Spot Checks</x:v>
      </x:c>
      <x:c r="F1" s="3" t="str">
        <x:v>Automated Source-Point Spot Checks</x:v>
      </x:c>
      <x:c r="G1" s="3" t="str">
        <x:v>Automated Source-Point Spot Checks</x:v>
      </x:c>
      <x:c r="H1" s="3" t="str">
        <x:v>Automated Source-Point Spot Checks</x:v>
      </x:c>
      <x:c r="I1" s="3" t="str">
        <x:v>Automated Source-Point Spot Checks</x:v>
      </x:c>
    </x:row>
    <x:row r="2" ht="34" customHeight="1">
      <x:c r="A2" s="7" t="str">
        <x:v>Relative error and result are formula-driven. Expected values are official operational-boundary values; actual values are from the bounded log-log evaluator.</x:v>
      </x:c>
      <x:c r="B2" s="7" t="str">
        <x:v>Relative error and result are formula-driven. Expected values are official operational-boundary values; actual values are from the bounded log-log evaluator.</x:v>
      </x:c>
      <x:c r="C2" s="7" t="str">
        <x:v>Relative error and result are formula-driven. Expected values are official operational-boundary values; actual values are from the bounded log-log evaluator.</x:v>
      </x:c>
      <x:c r="D2" s="7" t="str">
        <x:v>Relative error and result are formula-driven. Expected values are official operational-boundary values; actual values are from the bounded log-log evaluator.</x:v>
      </x:c>
      <x:c r="E2" s="7" t="str">
        <x:v>Relative error and result are formula-driven. Expected values are official operational-boundary values; actual values are from the bounded log-log evaluator.</x:v>
      </x:c>
      <x:c r="F2" s="7" t="str">
        <x:v>Relative error and result are formula-driven. Expected values are official operational-boundary values; actual values are from the bounded log-log evaluator.</x:v>
      </x:c>
      <x:c r="G2" s="7" t="str">
        <x:v>Relative error and result are formula-driven. Expected values are official operational-boundary values; actual values are from the bounded log-log evaluator.</x:v>
      </x:c>
      <x:c r="H2" s="7" t="str">
        <x:v>Relative error and result are formula-driven. Expected values are official operational-boundary values; actual values are from the bounded log-log evaluator.</x:v>
      </x:c>
      <x:c r="I2" s="7" t="str">
        <x:v>Relative error and result are formula-driven. Expected values are official operational-boundary values; actual values are from the bounded log-log evaluator.</x:v>
      </x:c>
    </x:row>
    <x:row r="4" ht="15" hidden="0" customHeight="1">
      <x:c r="A4" s="11" t="str">
        <x:v>Candidate ID</x:v>
      </x:c>
      <x:c r="B4" s="11" t="str">
        <x:v>Profile ID</x:v>
      </x:c>
      <x:c r="C4" s="11" t="str">
        <x:v>Role</x:v>
      </x:c>
      <x:c r="D4" s="11" t="str">
        <x:v>Source ID</x:v>
      </x:c>
      <x:c r="E4" s="11" t="str">
        <x:v>Current (A)</x:v>
      </x:c>
      <x:c r="F4" s="11" t="str">
        <x:v>Expected time (s)</x:v>
      </x:c>
      <x:c r="G4" s="11" t="str">
        <x:v>Actual time (s)</x:v>
      </x:c>
      <x:c r="H4" s="11" t="str">
        <x:v>Relative error</x:v>
      </x:c>
      <x:c r="I4" s="11" t="str">
        <x:v>Result</x:v>
      </x:c>
    </x:row>
    <x:row r="5" ht="15" hidden="0" customHeight="1">
      <x:c r="A5" s="14" t="str">
        <x:v>sc_smu20_25e_standard_14kv</x:v>
      </x:c>
      <x:c r="B5" s="14" t="str">
        <x:v>smu20_25e_minimum_melting</x:v>
      </x:c>
      <x:c r="C5" s="14" t="str">
        <x:v>melting</x:v>
      </x:c>
      <x:c r="D5" s="14" t="str">
        <x:v>sc_tcc_153_2_xlsx</x:v>
      </x:c>
      <x:c r="E5" s="19" t="n">
        <x:v>49.4486</x:v>
      </x:c>
      <x:c r="F5" s="19" t="n">
        <x:v>39.7197</x:v>
      </x:c>
      <x:c r="G5" s="19" t="n">
        <x:v>39.7197</x:v>
      </x:c>
      <x:c r="H5" s="17" t="n">
        <x:f>ABS((G5-F5)/F5)</x:f>
        <x:v>0</x:v>
      </x:c>
      <x:c r="I5" s="20" t="str">
        <x:f>IF(H5&lt;=0.000001,"PASS","CHECK")</x:f>
        <x:v>PASS</x:v>
      </x:c>
    </x:row>
    <x:row r="6" ht="15" hidden="0" customHeight="1">
      <x:c r="A6" s="14" t="str">
        <x:v>sc_smu20_25e_standard_14kv</x:v>
      </x:c>
      <x:c r="B6" s="14" t="str">
        <x:v>smu20_25e_minimum_melting</x:v>
      </x:c>
      <x:c r="C6" s="14" t="str">
        <x:v>melting</x:v>
      </x:c>
      <x:c r="D6" s="14" t="str">
        <x:v>sc_tcc_153_2_xlsx</x:v>
      </x:c>
      <x:c r="E6" s="19" t="n">
        <x:v>128.115</x:v>
      </x:c>
      <x:c r="F6" s="19" t="n">
        <x:v>1.02515</x:v>
      </x:c>
      <x:c r="G6" s="19" t="n">
        <x:v>1.02515</x:v>
      </x:c>
      <x:c r="H6" s="17" t="n">
        <x:f>ABS((G6-F6)/F6)</x:f>
        <x:v>0</x:v>
      </x:c>
      <x:c r="I6" s="20" t="str">
        <x:f>IF(H6&lt;=0.000001,"PASS","CHECK")</x:f>
        <x:v>PASS</x:v>
      </x:c>
    </x:row>
    <x:row r="7" ht="15" hidden="0" customHeight="1">
      <x:c r="A7" s="14" t="str">
        <x:v>sc_smu20_25e_standard_14kv</x:v>
      </x:c>
      <x:c r="B7" s="14" t="str">
        <x:v>smu20_25e_minimum_melting</x:v>
      </x:c>
      <x:c r="C7" s="14" t="str">
        <x:v>melting</x:v>
      </x:c>
      <x:c r="D7" s="14" t="str">
        <x:v>sc_tcc_153_2_xlsx</x:v>
      </x:c>
      <x:c r="E7" s="19" t="n">
        <x:v>1326.01</x:v>
      </x:c>
      <x:c r="F7" s="19" t="n">
        <x:v>0.01</x:v>
      </x:c>
      <x:c r="G7" s="19" t="n">
        <x:v>0.01</x:v>
      </x:c>
      <x:c r="H7" s="17" t="n">
        <x:f>ABS((G7-F7)/F7)</x:f>
        <x:v>0</x:v>
      </x:c>
      <x:c r="I7" s="20" t="str">
        <x:f>IF(H7&lt;=0.000001,"PASS","CHECK")</x:f>
        <x:v>PASS</x:v>
      </x:c>
    </x:row>
    <x:row r="8" ht="15" hidden="0" customHeight="1">
      <x:c r="A8" s="14" t="str">
        <x:v>sc_smu20_25e_standard_14kv</x:v>
      </x:c>
      <x:c r="B8" s="14" t="str">
        <x:v>smu20_25e_total_clearing_14_4kv</x:v>
      </x:c>
      <x:c r="C8" s="14" t="str">
        <x:v>clearing</x:v>
      </x:c>
      <x:c r="D8" s="14" t="str">
        <x:v>sc_tcc_153_2_2_xlsx</x:v>
      </x:c>
      <x:c r="E8" s="19" t="n">
        <x:v>53.6206</x:v>
      </x:c>
      <x:c r="F8" s="19" t="n">
        <x:v>601.155</x:v>
      </x:c>
      <x:c r="G8" s="19" t="n">
        <x:v>601.155</x:v>
      </x:c>
      <x:c r="H8" s="17" t="n">
        <x:f>ABS((G8-F8)/F8)</x:f>
        <x:v>0</x:v>
      </x:c>
      <x:c r="I8" s="20" t="str">
        <x:f>IF(H8&lt;=0.000001,"PASS","CHECK")</x:f>
        <x:v>PASS</x:v>
      </x:c>
    </x:row>
    <x:row r="9" ht="15" hidden="0" customHeight="1">
      <x:c r="A9" s="14" t="str">
        <x:v>sc_smu20_25e_standard_14kv</x:v>
      </x:c>
      <x:c r="B9" s="14" t="str">
        <x:v>smu20_25e_total_clearing_14_4kv</x:v>
      </x:c>
      <x:c r="C9" s="14" t="str">
        <x:v>clearing</x:v>
      </x:c>
      <x:c r="D9" s="14" t="str">
        <x:v>sc_tcc_153_2_2_xlsx</x:v>
      </x:c>
      <x:c r="E9" s="19" t="n">
        <x:v>273.672</x:v>
      </x:c>
      <x:c r="F9" s="19" t="n">
        <x:v>0.308769</x:v>
      </x:c>
      <x:c r="G9" s="19" t="n">
        <x:v>0.308769</x:v>
      </x:c>
      <x:c r="H9" s="17" t="n">
        <x:f>ABS((G9-F9)/F9)</x:f>
        <x:v>0</x:v>
      </x:c>
      <x:c r="I9" s="20" t="str">
        <x:f>IF(H9&lt;=0.000001,"PASS","CHECK")</x:f>
        <x:v>PASS</x:v>
      </x:c>
    </x:row>
    <x:row r="10" ht="15" hidden="0" customHeight="1">
      <x:c r="A10" s="14" t="str">
        <x:v>sc_smu20_25e_standard_14kv</x:v>
      </x:c>
      <x:c r="B10" s="14" t="str">
        <x:v>smu20_25e_total_clearing_14_4kv</x:v>
      </x:c>
      <x:c r="C10" s="14" t="str">
        <x:v>clearing</x:v>
      </x:c>
      <x:c r="D10" s="14" t="str">
        <x:v>sc_tcc_153_2_2_xlsx</x:v>
      </x:c>
      <x:c r="E10" s="19" t="n">
        <x:v>17835.1</x:v>
      </x:c>
      <x:c r="F10" s="19" t="n">
        <x:v>0.016504</x:v>
      </x:c>
      <x:c r="G10" s="19" t="n">
        <x:v>0.016504</x:v>
      </x:c>
      <x:c r="H10" s="17" t="n">
        <x:f>ABS((G10-F10)/F10)</x:f>
        <x:v>0</x:v>
      </x:c>
      <x:c r="I10" s="20" t="str">
        <x:f>IF(H10&lt;=0.000001,"PASS","CHECK")</x:f>
        <x:v>PASS</x:v>
      </x:c>
    </x:row>
    <x:row r="11" ht="15" hidden="0" customHeight="1">
      <x:c r="A11" s="14" t="str">
        <x:v>sc_smu20_65e_standard_14kv</x:v>
      </x:c>
      <x:c r="B11" s="14" t="str">
        <x:v>smu20_65e_minimum_melting</x:v>
      </x:c>
      <x:c r="C11" s="14" t="str">
        <x:v>melting</x:v>
      </x:c>
      <x:c r="D11" s="14" t="str">
        <x:v>sc_tcc_153_2_xlsx</x:v>
      </x:c>
      <x:c r="E11" s="19" t="n">
        <x:v>129.65572</x:v>
      </x:c>
      <x:c r="F11" s="19" t="n">
        <x:v>601.757</x:v>
      </x:c>
      <x:c r="G11" s="19" t="n">
        <x:v>601.757</x:v>
      </x:c>
      <x:c r="H11" s="17" t="n">
        <x:f>ABS((G11-F11)/F11)</x:f>
        <x:v>0</x:v>
      </x:c>
      <x:c r="I11" s="20" t="str">
        <x:f>IF(H11&lt;=0.000001,"PASS","CHECK")</x:f>
        <x:v>PASS</x:v>
      </x:c>
    </x:row>
    <x:row r="12" ht="15" hidden="0" customHeight="1">
      <x:c r="A12" s="14" t="str">
        <x:v>sc_smu20_65e_standard_14kv</x:v>
      </x:c>
      <x:c r="B12" s="14" t="str">
        <x:v>smu20_65e_minimum_melting</x:v>
      </x:c>
      <x:c r="C12" s="14" t="str">
        <x:v>melting</x:v>
      </x:c>
      <x:c r="D12" s="14" t="str">
        <x:v>sc_tcc_153_2_xlsx</x:v>
      </x:c>
      <x:c r="E12" s="19" t="n">
        <x:v>241.74451</x:v>
      </x:c>
      <x:c r="F12" s="19" t="n">
        <x:v>2.02555</x:v>
      </x:c>
      <x:c r="G12" s="19" t="n">
        <x:v>2.02555</x:v>
      </x:c>
      <x:c r="H12" s="17" t="n">
        <x:f>ABS((G12-F12)/F12)</x:f>
        <x:v>0</x:v>
      </x:c>
      <x:c r="I12" s="20" t="str">
        <x:f>IF(H12&lt;=0.000001,"PASS","CHECK")</x:f>
        <x:v>PASS</x:v>
      </x:c>
    </x:row>
    <x:row r="13" ht="15" hidden="0" customHeight="1">
      <x:c r="A13" s="14" t="str">
        <x:v>sc_smu20_65e_standard_14kv</x:v>
      </x:c>
      <x:c r="B13" s="14" t="str">
        <x:v>smu20_65e_minimum_melting</x:v>
      </x:c>
      <x:c r="C13" s="14" t="str">
        <x:v>melting</x:v>
      </x:c>
      <x:c r="D13" s="14" t="str">
        <x:v>sc_tcc_153_2_xlsx</x:v>
      </x:c>
      <x:c r="E13" s="19" t="n">
        <x:v>3164.9057000000003</x:v>
      </x:c>
      <x:c r="F13" s="19" t="n">
        <x:v>0.01</x:v>
      </x:c>
      <x:c r="G13" s="19" t="n">
        <x:v>0.01</x:v>
      </x:c>
      <x:c r="H13" s="17" t="n">
        <x:f>ABS((G13-F13)/F13)</x:f>
        <x:v>0</x:v>
      </x:c>
      <x:c r="I13" s="20" t="str">
        <x:f>IF(H13&lt;=0.000001,"PASS","CHECK")</x:f>
        <x:v>PASS</x:v>
      </x:c>
    </x:row>
    <x:row r="14" ht="15" hidden="0" customHeight="1">
      <x:c r="A14" s="14" t="str">
        <x:v>sc_smu20_65e_standard_14kv</x:v>
      </x:c>
      <x:c r="B14" s="14" t="str">
        <x:v>smu20_65e_total_clearing_14_4kv</x:v>
      </x:c>
      <x:c r="C14" s="14" t="str">
        <x:v>clearing</x:v>
      </x:c>
      <x:c r="D14" s="14" t="str">
        <x:v>sc_tcc_153_2_2_xlsx</x:v>
      </x:c>
      <x:c r="E14" s="19" t="n">
        <x:v>140.18</x:v>
      </x:c>
      <x:c r="F14" s="19" t="n">
        <x:v>602.359</x:v>
      </x:c>
      <x:c r="G14" s="19" t="n">
        <x:v>602.359</x:v>
      </x:c>
      <x:c r="H14" s="17" t="n">
        <x:f>ABS((G14-F14)/F14)</x:f>
        <x:v>0</x:v>
      </x:c>
      <x:c r="I14" s="20" t="str">
        <x:f>IF(H14&lt;=0.000001,"PASS","CHECK")</x:f>
        <x:v>PASS</x:v>
      </x:c>
    </x:row>
    <x:row r="15" ht="15" hidden="0" customHeight="1">
      <x:c r="A15" s="14" t="str">
        <x:v>sc_smu20_65e_standard_14kv</x:v>
      </x:c>
      <x:c r="B15" s="14" t="str">
        <x:v>smu20_65e_total_clearing_14_4kv</x:v>
      </x:c>
      <x:c r="C15" s="14" t="str">
        <x:v>clearing</x:v>
      </x:c>
      <x:c r="D15" s="14" t="str">
        <x:v>sc_tcc_153_2_2_xlsx</x:v>
      </x:c>
      <x:c r="E15" s="19" t="n">
        <x:v>321.8</x:v>
      </x:c>
      <x:c r="F15" s="19" t="n">
        <x:v>1.30322</x:v>
      </x:c>
      <x:c r="G15" s="19" t="n">
        <x:v>1.30322</x:v>
      </x:c>
      <x:c r="H15" s="17" t="n">
        <x:f>ABS((G15-F15)/F15)</x:f>
        <x:v>0</x:v>
      </x:c>
      <x:c r="I15" s="20" t="str">
        <x:f>IF(H15&lt;=0.000001,"PASS","CHECK")</x:f>
        <x:v>PASS</x:v>
      </x:c>
    </x:row>
    <x:row r="16" ht="15" hidden="0" customHeight="1">
      <x:c r="A16" s="14" t="str">
        <x:v>sc_smu20_65e_standard_14kv</x:v>
      </x:c>
      <x:c r="B16" s="14" t="str">
        <x:v>smu20_65e_total_clearing_14_4kv</x:v>
      </x:c>
      <x:c r="C16" s="14" t="str">
        <x:v>clearing</x:v>
      </x:c>
      <x:c r="D16" s="14" t="str">
        <x:v>sc_tcc_153_2_2_xlsx</x:v>
      </x:c>
      <x:c r="E16" s="19" t="n">
        <x:v>17817.3</x:v>
      </x:c>
      <x:c r="F16" s="19" t="n">
        <x:v>0.016504</x:v>
      </x:c>
      <x:c r="G16" s="19" t="n">
        <x:v>0.016504</x:v>
      </x:c>
      <x:c r="H16" s="17" t="n">
        <x:f>ABS((G16-F16)/F16)</x:f>
        <x:v>0</x:v>
      </x:c>
      <x:c r="I16" s="20" t="str">
        <x:f>IF(H16&lt;=0.000001,"PASS","CHECK")</x:f>
        <x:v>PASS</x:v>
      </x:c>
    </x:row>
    <x:row r="17" ht="15" hidden="0" customHeight="1">
      <x:c r="A17" s="14" t="str">
        <x:v>sc_smu20_100e_standard_14kv</x:v>
      </x:c>
      <x:c r="B17" s="14" t="str">
        <x:v>smu20_100e_minimum_melting</x:v>
      </x:c>
      <x:c r="C17" s="14" t="str">
        <x:v>melting</x:v>
      </x:c>
      <x:c r="D17" s="14" t="str">
        <x:v>sc_tcc_153_2_xlsx</x:v>
      </x:c>
      <x:c r="E17" s="19" t="n">
        <x:v>195.182</x:v>
      </x:c>
      <x:c r="F17" s="19" t="n">
        <x:v>601.155</x:v>
      </x:c>
      <x:c r="G17" s="19" t="n">
        <x:v>601.155</x:v>
      </x:c>
      <x:c r="H17" s="17" t="n">
        <x:f>ABS((G17-F17)/F17)</x:f>
        <x:v>0</x:v>
      </x:c>
      <x:c r="I17" s="20" t="str">
        <x:f>IF(H17&lt;=0.000001,"PASS","CHECK")</x:f>
        <x:v>PASS</x:v>
      </x:c>
    </x:row>
    <x:row r="18" ht="15" hidden="0" customHeight="1">
      <x:c r="A18" s="14" t="str">
        <x:v>sc_smu20_100e_standard_14kv</x:v>
      </x:c>
      <x:c r="B18" s="14" t="str">
        <x:v>smu20_100e_minimum_melting</x:v>
      </x:c>
      <x:c r="C18" s="14" t="str">
        <x:v>melting</x:v>
      </x:c>
      <x:c r="D18" s="14" t="str">
        <x:v>sc_tcc_153_2_xlsx</x:v>
      </x:c>
      <x:c r="E18" s="19" t="n">
        <x:v>370.158</x:v>
      </x:c>
      <x:c r="F18" s="19" t="n">
        <x:v>2.49638</x:v>
      </x:c>
      <x:c r="G18" s="19" t="n">
        <x:v>2.49638</x:v>
      </x:c>
      <x:c r="H18" s="17" t="n">
        <x:f>ABS((G18-F18)/F18)</x:f>
        <x:v>0</x:v>
      </x:c>
      <x:c r="I18" s="20" t="str">
        <x:f>IF(H18&lt;=0.000001,"PASS","CHECK")</x:f>
        <x:v>PASS</x:v>
      </x:c>
    </x:row>
    <x:row r="19" ht="15" hidden="0" customHeight="1">
      <x:c r="A19" s="14" t="str">
        <x:v>sc_smu20_100e_standard_14kv</x:v>
      </x:c>
      <x:c r="B19" s="14" t="str">
        <x:v>smu20_100e_minimum_melting</x:v>
      </x:c>
      <x:c r="C19" s="14" t="str">
        <x:v>melting</x:v>
      </x:c>
      <x:c r="D19" s="14" t="str">
        <x:v>sc_tcc_153_2_xlsx</x:v>
      </x:c>
      <x:c r="E19" s="19" t="n">
        <x:v>4929.18</x:v>
      </x:c>
      <x:c r="F19" s="19" t="n">
        <x:v>0.01</x:v>
      </x:c>
      <x:c r="G19" s="19" t="n">
        <x:v>0.01</x:v>
      </x:c>
      <x:c r="H19" s="17" t="n">
        <x:f>ABS((G19-F19)/F19)</x:f>
        <x:v>0</x:v>
      </x:c>
      <x:c r="I19" s="20" t="str">
        <x:f>IF(H19&lt;=0.000001,"PASS","CHECK")</x:f>
        <x:v>PASS</x:v>
      </x:c>
    </x:row>
    <x:row r="20" ht="15" hidden="0" customHeight="1">
      <x:c r="A20" s="14" t="str">
        <x:v>sc_smu20_100e_standard_14kv</x:v>
      </x:c>
      <x:c r="B20" s="14" t="str">
        <x:v>smu20_100e_total_clearing_14_4kv</x:v>
      </x:c>
      <x:c r="C20" s="14" t="str">
        <x:v>clearing</x:v>
      </x:c>
      <x:c r="D20" s="14" t="str">
        <x:v>sc_tcc_153_2_2_xlsx</x:v>
      </x:c>
      <x:c r="E20" s="19" t="n">
        <x:v>212.285</x:v>
      </x:c>
      <x:c r="F20" s="19" t="n">
        <x:v>601.155</x:v>
      </x:c>
      <x:c r="G20" s="19" t="n">
        <x:v>601.155</x:v>
      </x:c>
      <x:c r="H20" s="17" t="n">
        <x:f>ABS((G20-F20)/F20)</x:f>
        <x:v>0</x:v>
      </x:c>
      <x:c r="I20" s="20" t="str">
        <x:f>IF(H20&lt;=0.000001,"PASS","CHECK")</x:f>
        <x:v>PASS</x:v>
      </x:c>
    </x:row>
    <x:row r="21" ht="15" hidden="0" customHeight="1">
      <x:c r="A21" s="14" t="str">
        <x:v>sc_smu20_100e_standard_14kv</x:v>
      </x:c>
      <x:c r="B21" s="14" t="str">
        <x:v>smu20_100e_total_clearing_14_4kv</x:v>
      </x:c>
      <x:c r="C21" s="14" t="str">
        <x:v>clearing</x:v>
      </x:c>
      <x:c r="D21" s="14" t="str">
        <x:v>sc_tcc_153_2_2_xlsx</x:v>
      </x:c>
      <x:c r="E21" s="19" t="n">
        <x:v>678.532</x:v>
      </x:c>
      <x:c r="F21" s="19" t="n">
        <x:v>0.69617</x:v>
      </x:c>
      <x:c r="G21" s="19" t="n">
        <x:v>0.69617</x:v>
      </x:c>
      <x:c r="H21" s="17" t="n">
        <x:f>ABS((G21-F21)/F21)</x:f>
        <x:v>0</x:v>
      </x:c>
      <x:c r="I21" s="20" t="str">
        <x:f>IF(H21&lt;=0.000001,"PASS","CHECK")</x:f>
        <x:v>PASS</x:v>
      </x:c>
    </x:row>
    <x:row r="22" ht="15" hidden="0" customHeight="1">
      <x:c r="A22" s="14" t="str">
        <x:v>sc_smu20_100e_standard_14kv</x:v>
      </x:c>
      <x:c r="B22" s="14" t="str">
        <x:v>smu20_100e_total_clearing_14_4kv</x:v>
      </x:c>
      <x:c r="C22" s="14" t="str">
        <x:v>clearing</x:v>
      </x:c>
      <x:c r="D22" s="14" t="str">
        <x:v>sc_tcc_153_2_2_xlsx</x:v>
      </x:c>
      <x:c r="E22" s="19" t="n">
        <x:v>18177.2</x:v>
      </x:c>
      <x:c r="F22" s="19" t="n">
        <x:v>0.016405</x:v>
      </x:c>
      <x:c r="G22" s="19" t="n">
        <x:v>0.016405</x:v>
      </x:c>
      <x:c r="H22" s="17" t="n">
        <x:f>ABS((G22-F22)/F22)</x:f>
        <x:v>0</x:v>
      </x:c>
      <x:c r="I22" s="20" t="str">
        <x:f>IF(H22&lt;=0.000001,"PASS","CHECK")</x:f>
        <x:v>PASS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65" hidden="0" customWidth="1"/>
  </x:cols>
  <x:sheetData>
    <x:row r="1" ht="30" customHeight="1">
      <x:c r="A1" s="3" t="str">
        <x:v>Asymmetric Tolerance Semantics</x:v>
      </x:c>
      <x:c r="B1" s="3" t="str">
        <x:v>Asymmetric Tolerance Semantics</x:v>
      </x:c>
      <x:c r="C1" s="3" t="str">
        <x:v>Asymmetric Tolerance Semantics</x:v>
      </x:c>
      <x:c r="D1" s="3" t="str">
        <x:v>Asymmetric Tolerance Semantics</x:v>
      </x:c>
      <x:c r="E1" s="3" t="str">
        <x:v>Asymmetric Tolerance Semantics</x:v>
      </x:c>
      <x:c r="F1" s="3" t="str">
        <x:v>Asymmetric Tolerance Semantics</x:v>
      </x:c>
      <x:c r="G1" s="3" t="str">
        <x:v>Asymmetric Tolerance Semantics</x:v>
      </x:c>
      <x:c r="H1" s="3" t="str">
        <x:v>Asymmetric Tolerance Semantics</x:v>
      </x:c>
      <x:c r="I1" s="3" t="str">
        <x:v>Asymmetric Tolerance Semantics</x:v>
      </x:c>
    </x:row>
    <x:row r="2" ht="34" customHeight="1">
      <x:c r="A2" s="7" t="str">
        <x:v>Manufacturer statements are recorded without converting them into an invented symmetric time multiplier.</x:v>
      </x:c>
      <x:c r="B2" s="7" t="str">
        <x:v>Manufacturer statements are recorded without converting them into an invented symmetric time multiplier.</x:v>
      </x:c>
      <x:c r="C2" s="7" t="str">
        <x:v>Manufacturer statements are recorded without converting them into an invented symmetric time multiplier.</x:v>
      </x:c>
      <x:c r="D2" s="7" t="str">
        <x:v>Manufacturer statements are recorded without converting them into an invented symmetric time multiplier.</x:v>
      </x:c>
      <x:c r="E2" s="7" t="str">
        <x:v>Manufacturer statements are recorded without converting them into an invented symmetric time multiplier.</x:v>
      </x:c>
      <x:c r="F2" s="7" t="str">
        <x:v>Manufacturer statements are recorded without converting them into an invented symmetric time multiplier.</x:v>
      </x:c>
      <x:c r="G2" s="7" t="str">
        <x:v>Manufacturer statements are recorded without converting them into an invented symmetric time multiplier.</x:v>
      </x:c>
      <x:c r="H2" s="7" t="str">
        <x:v>Manufacturer statements are recorded without converting them into an invented symmetric time multiplier.</x:v>
      </x:c>
      <x:c r="I2" s="7" t="str">
        <x:v>Manufacturer statements are recorded without converting them into an invented symmetric time multiplier.</x:v>
      </x:c>
    </x:row>
    <x:row r="4" ht="15" hidden="0" customHeight="1">
      <x:c r="A4" s="11" t="str">
        <x:v>Candidate ID</x:v>
      </x:c>
      <x:c r="B4" s="11" t="str">
        <x:v>Profile ID</x:v>
      </x:c>
      <x:c r="C4" s="11" t="str">
        <x:v>Role</x:v>
      </x:c>
      <x:c r="D4" s="11" t="str">
        <x:v>Plotted boundary</x:v>
      </x:c>
      <x:c r="E4" s="11" t="str">
        <x:v>Variation axis</x:v>
      </x:c>
      <x:c r="F4" s="11" t="str">
        <x:v>Direction</x:v>
      </x:c>
      <x:c r="G4" s="11" t="str">
        <x:v>Percent</x:v>
      </x:c>
      <x:c r="H4" s="11" t="str">
        <x:v>Operational boundary</x:v>
      </x:c>
      <x:c r="I4" s="11" t="str">
        <x:v>Source / notes</x:v>
      </x:c>
    </x:row>
    <x:row r="5" ht="39.599998474121094" hidden="0" customHeight="1">
      <x:c r="A5" s="14" t="str">
        <x:v>sc_smu20_25e_standard_14kv</x:v>
      </x:c>
      <x:c r="B5" s="14" t="str">
        <x:v>smu20_25e_minimum_melting</x:v>
      </x:c>
      <x:c r="C5" s="14" t="str">
        <x:v>melting</x:v>
      </x:c>
      <x:c r="D5" s="15" t="str">
        <x:v>minimum_test_points</x:v>
      </x:c>
      <x:c r="E5" s="15" t="str">
        <x:v>current</x:v>
      </x:c>
      <x:c r="F5" s="15" t="str">
        <x:v>plus</x:v>
      </x:c>
      <x:c r="G5" s="22" t="n">
        <x:v>10</x:v>
      </x:c>
      <x:c r="H5" s="15" t="str">
        <x:v>lower</x:v>
      </x:c>
      <x:c r="I5" s="14" t="str">
        <x:v>sc_tcc_153_2_pdf: Manufacturer statement for 10E through 400E ratings. The published minimum-test-point curve is retained directly; no symmetric time multiplier is inferred.</x:v>
      </x:c>
    </x:row>
    <x:row r="6" ht="39.599998474121094" hidden="0" customHeight="1">
      <x:c r="A6" s="14" t="str">
        <x:v>sc_smu20_25e_standard_14kv</x:v>
      </x:c>
      <x:c r="B6" s="14" t="str">
        <x:v>smu20_25e_total_clearing_14_4kv</x:v>
      </x:c>
      <x:c r="C6" s="14" t="str">
        <x:v>clearing</x:v>
      </x:c>
      <x:c r="D6" s="15" t="str">
        <x:v>maximum_test_points</x:v>
      </x:c>
      <x:c r="E6" s="15" t="str">
        <x:v>manufacturer_curve</x:v>
      </x:c>
      <x:c r="F6" s="15" t="str">
        <x:v>minus</x:v>
      </x:c>
      <x:c r="G6" s="22"/>
      <x:c r="H6" s="15" t="str">
        <x:v>upper</x:v>
      </x:c>
      <x:c r="I6" s="14" t="str">
        <x:v>sc_tcc_153_2_2_pdf: Manufacturer states all variations are minus and provides no percentage. The published maximum-test-point curve is retained directly; no symmetric tolerance is invented.</x:v>
      </x:c>
    </x:row>
    <x:row r="7" ht="39.599998474121094" hidden="0" customHeight="1">
      <x:c r="A7" s="14" t="str">
        <x:v>sc_smu20_65e_standard_14kv</x:v>
      </x:c>
      <x:c r="B7" s="14" t="str">
        <x:v>smu20_65e_minimum_melting</x:v>
      </x:c>
      <x:c r="C7" s="14" t="str">
        <x:v>melting</x:v>
      </x:c>
      <x:c r="D7" s="15" t="str">
        <x:v>minimum_test_points</x:v>
      </x:c>
      <x:c r="E7" s="15" t="str">
        <x:v>current</x:v>
      </x:c>
      <x:c r="F7" s="15" t="str">
        <x:v>plus</x:v>
      </x:c>
      <x:c r="G7" s="22" t="n">
        <x:v>10</x:v>
      </x:c>
      <x:c r="H7" s="15" t="str">
        <x:v>lower</x:v>
      </x:c>
      <x:c r="I7" s="14" t="str">
        <x:v>sc_tcc_153_2_pdf: Manufacturer statement for 10E through 400E ratings. The published minimum-test-point curve is retained directly; no symmetric time multiplier is inferred.</x:v>
      </x:c>
    </x:row>
    <x:row r="8" ht="39.599998474121094" hidden="0" customHeight="1">
      <x:c r="A8" s="14" t="str">
        <x:v>sc_smu20_65e_standard_14kv</x:v>
      </x:c>
      <x:c r="B8" s="14" t="str">
        <x:v>smu20_65e_total_clearing_14_4kv</x:v>
      </x:c>
      <x:c r="C8" s="14" t="str">
        <x:v>clearing</x:v>
      </x:c>
      <x:c r="D8" s="15" t="str">
        <x:v>maximum_test_points</x:v>
      </x:c>
      <x:c r="E8" s="15" t="str">
        <x:v>manufacturer_curve</x:v>
      </x:c>
      <x:c r="F8" s="15" t="str">
        <x:v>minus</x:v>
      </x:c>
      <x:c r="G8" s="22"/>
      <x:c r="H8" s="15" t="str">
        <x:v>upper</x:v>
      </x:c>
      <x:c r="I8" s="14" t="str">
        <x:v>sc_tcc_153_2_2_pdf: Manufacturer states all variations are minus and provides no percentage. The published maximum-test-point curve is retained directly; no symmetric tolerance is invented.</x:v>
      </x:c>
    </x:row>
    <x:row r="9" ht="39.599998474121094" hidden="0" customHeight="1">
      <x:c r="A9" s="14" t="str">
        <x:v>sc_smu20_100e_standard_14kv</x:v>
      </x:c>
      <x:c r="B9" s="14" t="str">
        <x:v>smu20_100e_minimum_melting</x:v>
      </x:c>
      <x:c r="C9" s="14" t="str">
        <x:v>melting</x:v>
      </x:c>
      <x:c r="D9" s="15" t="str">
        <x:v>minimum_test_points</x:v>
      </x:c>
      <x:c r="E9" s="15" t="str">
        <x:v>current</x:v>
      </x:c>
      <x:c r="F9" s="15" t="str">
        <x:v>plus</x:v>
      </x:c>
      <x:c r="G9" s="22" t="n">
        <x:v>10</x:v>
      </x:c>
      <x:c r="H9" s="15" t="str">
        <x:v>lower</x:v>
      </x:c>
      <x:c r="I9" s="14" t="str">
        <x:v>sc_tcc_153_2_pdf: Manufacturer statement for 10E through 400E ratings. The published minimum-test-point curve is retained directly; no symmetric time multiplier is inferred.</x:v>
      </x:c>
    </x:row>
    <x:row r="10" ht="39.599998474121094" hidden="0" customHeight="1">
      <x:c r="A10" s="14" t="str">
        <x:v>sc_smu20_100e_standard_14kv</x:v>
      </x:c>
      <x:c r="B10" s="14" t="str">
        <x:v>smu20_100e_total_clearing_14_4kv</x:v>
      </x:c>
      <x:c r="C10" s="14" t="str">
        <x:v>clearing</x:v>
      </x:c>
      <x:c r="D10" s="15" t="str">
        <x:v>maximum_test_points</x:v>
      </x:c>
      <x:c r="E10" s="15" t="str">
        <x:v>manufacturer_curve</x:v>
      </x:c>
      <x:c r="F10" s="15" t="str">
        <x:v>minus</x:v>
      </x:c>
      <x:c r="G10" s="22"/>
      <x:c r="H10" s="15" t="str">
        <x:v>upper</x:v>
      </x:c>
      <x:c r="I10" s="14" t="str">
        <x:v>sc_tcc_153_2_2_pdf: Manufacturer states all variations are minus and provides no percentage. The published maximum-test-point curve is retained directly; no symmetric tolerance is invented.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0" hidden="0" customWidth="1"/>
    <x:col min="3" max="3" width="46" hidden="0" customWidth="1"/>
    <x:col min="4" max="4" width="20" hidden="0" customWidth="1"/>
    <x:col min="5" max="5" width="20" hidden="0" customWidth="1"/>
    <x:col min="6" max="6" width="20" hidden="0" customWidth="1"/>
    <x:col min="7" max="7" width="55" hidden="0" customWidth="1"/>
    <x:col min="8" max="8" width="70" hidden="0" customWidth="1"/>
  </x:cols>
  <x:sheetData>
    <x:row r="1" ht="30" customHeight="1">
      <x:c r="A1" s="3" t="str">
        <x:v>Primary Source Register</x:v>
      </x:c>
      <x:c r="B1" s="3" t="str">
        <x:v>Primary Source Register</x:v>
      </x:c>
      <x:c r="C1" s="3" t="str">
        <x:v>Primary Source Register</x:v>
      </x:c>
      <x:c r="D1" s="3" t="str">
        <x:v>Primary Source Register</x:v>
      </x:c>
      <x:c r="E1" s="3" t="str">
        <x:v>Primary Source Register</x:v>
      </x:c>
      <x:c r="F1" s="3" t="str">
        <x:v>Primary Source Register</x:v>
      </x:c>
      <x:c r="G1" s="3" t="str">
        <x:v>Primary Source Register</x:v>
      </x:c>
      <x:c r="H1" s="3" t="str">
        <x:v>Primary Source Register</x:v>
      </x:c>
    </x:row>
    <x:row r="2" ht="34" customHeight="1">
      <x:c r="A2" s="7" t="str">
        <x:v>All technical sources are manufacturer or standards-body publications. Bulletin 665-31 is retained only to document the resolved cross-application mapping.</x:v>
      </x:c>
      <x:c r="B2" s="7" t="str">
        <x:v>All technical sources are manufacturer or standards-body publications. Bulletin 665-31 is retained only to document the resolved cross-application mapping.</x:v>
      </x:c>
      <x:c r="C2" s="7" t="str">
        <x:v>All technical sources are manufacturer or standards-body publications. Bulletin 665-31 is retained only to document the resolved cross-application mapping.</x:v>
      </x:c>
      <x:c r="D2" s="7" t="str">
        <x:v>All technical sources are manufacturer or standards-body publications. Bulletin 665-31 is retained only to document the resolved cross-application mapping.</x:v>
      </x:c>
      <x:c r="E2" s="7" t="str">
        <x:v>All technical sources are manufacturer or standards-body publications. Bulletin 665-31 is retained only to document the resolved cross-application mapping.</x:v>
      </x:c>
      <x:c r="F2" s="7" t="str">
        <x:v>All technical sources are manufacturer or standards-body publications. Bulletin 665-31 is retained only to document the resolved cross-application mapping.</x:v>
      </x:c>
      <x:c r="G2" s="7" t="str">
        <x:v>All technical sources are manufacturer or standards-body publications. Bulletin 665-31 is retained only to document the resolved cross-application mapping.</x:v>
      </x:c>
      <x:c r="H2" s="7" t="str">
        <x:v>All technical sources are manufacturer or standards-body publications. Bulletin 665-31 is retained only to document the resolved cross-application mapping.</x:v>
      </x:c>
    </x:row>
    <x:row r="4" ht="15" hidden="0" customHeight="1">
      <x:c r="A4" s="11" t="str">
        <x:v>Source ID</x:v>
      </x:c>
      <x:c r="B4" s="11" t="str">
        <x:v>Publisher</x:v>
      </x:c>
      <x:c r="C4" s="11" t="str">
        <x:v>Document</x:v>
      </x:c>
      <x:c r="D4" s="11" t="str">
        <x:v>Number</x:v>
      </x:c>
      <x:c r="E4" s="11" t="str">
        <x:v>Date/revision</x:v>
      </x:c>
      <x:c r="F4" s="11" t="str">
        <x:v>Purposes</x:v>
      </x:c>
      <x:c r="G4" s="11" t="str">
        <x:v>Applicability</x:v>
      </x:c>
      <x:c r="H4" s="11" t="str">
        <x:v>URL</x:v>
      </x:c>
    </x:row>
    <x:row r="5" ht="39.599998474121094" hidden="0" customHeight="1">
      <x:c r="A5" s="14" t="str">
        <x:v>sc_smd20_product</x:v>
      </x:c>
      <x:c r="B5" s="14" t="str">
        <x:v>S&amp;C Electric Company</x:v>
      </x:c>
      <x:c r="C5" s="14" t="str">
        <x:v>SMD Power Fuses - Outdoor Distribution</x:v>
      </x:c>
      <x:c r="D5" s="14" t="str"/>
      <x:c r="E5" s="14" t="str"/>
      <x:c r="F5" s="14" t="str">
        <x:v>technical_data, lifecycle, market_prevalence</x:v>
      </x:c>
      <x:c r="G5" s="14" t="str">
        <x:v>Current manufacturer product page; identifies SMU-20 use, 14.4-kV SMD-20 ratings, 50/60-Hz interrupting ratings, and the applicable TCC documents.</x:v>
      </x:c>
      <x:c r="H5" s="14" t="str">
        <x:v>https://www.sandc.com/en/products--services/products/smd-power-fuses-outdoor-distribution/</x:v>
      </x:c>
    </x:row>
    <x:row r="6" ht="26.399999618530273" hidden="0" customHeight="1">
      <x:c r="A6" s="14" t="str">
        <x:v>sc_smu20_spec_242_31</x:v>
      </x:c>
      <x:c r="B6" s="14" t="str">
        <x:v>S&amp;C Electric Company</x:v>
      </x:c>
      <x:c r="C6" s="14" t="str">
        <x:v>Types SM-4, SM-5, SMD-20, and SMD-40 Power Fuses - Outdoor Distribution Specifications</x:v>
      </x:c>
      <x:c r="D6" s="14" t="str">
        <x:v>242-31</x:v>
      </x:c>
      <x:c r="E6" s="14" t="str">
        <x:v>2025-11-24</x:v>
      </x:c>
      <x:c r="F6" s="14" t="str">
        <x:v>technical_data, lifecycle, market_prevalence</x:v>
      </x:c>
      <x:c r="G6" s="14" t="str">
        <x:v>Direct SMD-20/SMU-20 ordering source for 14.4-kV standard-speed 25E, 65E, and 100E fuse-unit catalog numbers.</x:v>
      </x:c>
      <x:c r="H6" s="14" t="str">
        <x:v>https://www.sandc.com/globalassets/sac-electric/documents/public---documents/sales-manual-library---external-view/specification-bulletin-242-31.pdf</x:v>
      </x:c>
    </x:row>
    <x:row r="7" ht="39.599998474121094" hidden="0" customHeight="1">
      <x:c r="A7" s="14" t="str">
        <x:v>sc_smu20_instruction_252_550</x:v>
      </x:c>
      <x:c r="B7" s="14" t="str">
        <x:v>S&amp;C Electric Company</x:v>
      </x:c>
      <x:c r="C7" s="14" t="str">
        <x:v>SMU-20 Fuse Units</x:v>
      </x:c>
      <x:c r="D7" s="14" t="str">
        <x:v>252-550</x:v>
      </x:c>
      <x:c r="E7" s="14" t="str"/>
      <x:c r="F7" s="14" t="str">
        <x:v>technical_data, lifecycle</x:v>
      </x:c>
      <x:c r="G7" s="14" t="str">
        <x:v>Current installation publication; states that SMU-20 ratings are listed in Specification Bulletin 242-31 and describes each fuse unit as a separately installed device.</x:v>
      </x:c>
      <x:c r="H7" s="14" t="str">
        <x:v>https://www.sandc.com/globalassets/sac-electric/documents/public---documents/sales-manual-library---external-view/instruction-sheet-252-550.pdf</x:v>
      </x:c>
    </x:row>
    <x:row r="8" ht="26.399999618530273" hidden="0" customHeight="1">
      <x:c r="A8" s="15" t="str">
        <x:v>sc_smu20_spec_665_31_cross_application</x:v>
      </x:c>
      <x:c r="B8" s="15" t="str">
        <x:v>S&amp;C Electric Company</x:v>
      </x:c>
      <x:c r="C8" s="15" t="str">
        <x:v>S&amp;C Manual PME Pad-Mounted Gear</x:v>
      </x:c>
      <x:c r="D8" s="15" t="str">
        <x:v>665-31</x:v>
      </x:c>
      <x:c r="E8" s="15" t="str"/>
      <x:c r="F8" s="15" t="str">
        <x:v>technical_data</x:v>
      </x:c>
      <x:c r="G8" s="15" t="str">
        <x:v>Cross-application only; excluded from direct field mappings.</x:v>
      </x:c>
      <x:c r="H8" s="15" t="str">
        <x:v>https://www.sandc.com/globalassets/sac-electric/documents/public---documents/sales-manual-library---external-view/specification-bulletin-665-31.pdf</x:v>
      </x:c>
    </x:row>
    <x:row r="9" ht="39.599998474121094" hidden="0" customHeight="1">
      <x:c r="A9" s="14" t="str">
        <x:v>sc_tcc_153_2_pdf</x:v>
      </x:c>
      <x:c r="B9" s="14" t="str">
        <x:v>S&amp;C Electric Company</x:v>
      </x:c>
      <x:c r="C9" s="14" t="str">
        <x:v>SMU Fuse Units - S&amp;C Standard Speed Minimum Melting Time-Current Characteristic Curves</x:v>
      </x:c>
      <x:c r="D9" s="14" t="str">
        <x:v>153-2</x:v>
      </x:c>
      <x:c r="E9" s="14" t="str">
        <x:v>2019-06-03</x:v>
      </x:c>
      <x:c r="F9" s="14" t="str">
        <x:v>curve_data, standards</x:v>
      </x:c>
      <x:c r="G9" s="14" t="str">
        <x:v>Defines minimum-test-point plotting, plus 10% current variation for 10E through 400E ratings, 25 C/no-initial-load basis, and IEEE C37.41/C37.46 basis.</x:v>
      </x:c>
      <x:c r="H9" s="14" t="str">
        <x:v>https://www.sandc.com/globalassets/sac-electric/documents/public---documents/sales-manual-library---external-view/tcc-number-153-2.pdf</x:v>
      </x:c>
    </x:row>
    <x:row r="10" ht="26.399999618530273" hidden="0" customHeight="1">
      <x:c r="A10" s="14" t="str">
        <x:v>sc_tcc_153_2_xlsx</x:v>
      </x:c>
      <x:c r="B10" s="14" t="str">
        <x:v>S&amp;C Electric Company</x:v>
      </x:c>
      <x:c r="C10" s="14" t="str">
        <x:v>TCC Number 153-2 manufacturer spreadsheet</x:v>
      </x:c>
      <x:c r="D10" s="14" t="str">
        <x:v>153-2</x:v>
      </x:c>
      <x:c r="E10" s="14" t="str">
        <x:v>2015-07-14</x:v>
      </x:c>
      <x:c r="F10" s="14" t="str">
        <x:v>curve_data</x:v>
      </x:c>
      <x:c r="G10" s="14" t="str">
        <x:v>Structured manufacturer points transcribed without curve reduction; source ranges are retained in profile settings.</x:v>
      </x:c>
      <x:c r="H10" s="14" t="str">
        <x:v>https://www.sandc.com/globalassets/sac-electric/documents/public---documents/sales-manual-library---external-view/tcc-number-153-2.xlsx</x:v>
      </x:c>
    </x:row>
    <x:row r="11" ht="26.399999618530273" hidden="0" customHeight="1">
      <x:c r="A11" s="14" t="str">
        <x:v>sc_tcc_153_2_2_pdf</x:v>
      </x:c>
      <x:c r="B11" s="14" t="str">
        <x:v>S&amp;C Electric Company</x:v>
      </x:c>
      <x:c r="C11" s="14" t="str">
        <x:v>SMU Fuse Units - S&amp;C Standard Speed Total Clearing Time-Current Characteristic Curves</x:v>
      </x:c>
      <x:c r="D11" s="14" t="str">
        <x:v>153-2-2</x:v>
      </x:c>
      <x:c r="E11" s="14" t="str">
        <x:v>2019-06-03</x:v>
      </x:c>
      <x:c r="F11" s="14" t="str">
        <x:v>curve_data, standards</x:v>
      </x:c>
      <x:c r="G11" s="14" t="str">
        <x:v>Defines maximum-test-point plotting, minus-only variation, total-clearing semantics, 25 C/no-initial-load basis, and IEEE C37.41/C37.46 basis.</x:v>
      </x:c>
      <x:c r="H11" s="14" t="str">
        <x:v>https://www.sandc.com/globalassets/sac-electric/documents/public---documents/sales-manual-library---external-view/tcc-number-153-2-2.pdf</x:v>
      </x:c>
    </x:row>
    <x:row r="12" ht="39.599998474121094" hidden="0" customHeight="1">
      <x:c r="A12" s="14" t="str">
        <x:v>sc_tcc_153_2_2_xlsx</x:v>
      </x:c>
      <x:c r="B12" s="14" t="str">
        <x:v>S&amp;C Electric Company</x:v>
      </x:c>
      <x:c r="C12" s="14" t="str">
        <x:v>TCC Number 153-2-2 manufacturer spreadsheet</x:v>
      </x:c>
      <x:c r="D12" s="14" t="str">
        <x:v>153-2-2</x:v>
      </x:c>
      <x:c r="E12" s="14" t="str">
        <x:v>1988-08-29</x:v>
      </x:c>
      <x:c r="F12" s="14" t="str">
        <x:v>curve_data</x:v>
      </x:c>
      <x:c r="G12" s="14" t="str">
        <x:v>Structured manufacturer points transcribed without curve reduction; worksheet source date retained separately from the 2019 PDF publication.</x:v>
      </x:c>
      <x:c r="H12" s="14" t="str">
        <x:v>https://www.sandc.com/globalassets/sac-electric/documents/public---documents/sales-manual-library---external-view/tcc-number-153-2-2.xlsx</x:v>
      </x:c>
    </x:row>
    <x:row r="13" ht="39.599998474121094" hidden="0" customHeight="1">
      <x:c r="A13" s="14" t="str">
        <x:v>ieee_c37_41_2016</x:v>
      </x:c>
      <x:c r="B13" s="14" t="str">
        <x:v>IEEE Standards Association</x:v>
      </x:c>
      <x:c r="C13" s="14" t="str">
        <x:v>IEEE C37.41-2016 - IEEE Standard Design Tests for High-Voltage (&gt;1000 V) Fuses and Accessories</x:v>
      </x:c>
      <x:c r="D13" s="14" t="str">
        <x:v>IEEE C37.41-2016</x:v>
      </x:c>
      <x:c r="E13" s="14" t="str">
        <x:v>2016-12-09</x:v>
      </x:c>
      <x:c r="F13" s="14" t="str">
        <x:v>standards</x:v>
      </x:c>
      <x:c r="G13" s="14" t="str">
        <x:v>Edition in force when the manufacturer TCC publications dated 2019-06-03 were issued; the manufacturer publications cite C37.41 without an edition.</x:v>
      </x:c>
      <x:c r="H13" s="14" t="str">
        <x:v>https://standards.ieee.org/ieee/C37.41/5578/</x:v>
      </x:c>
    </x:row>
    <x:row r="14" ht="39.599998474121094" hidden="0" customHeight="1">
      <x:c r="A14" s="14" t="str">
        <x:v>ieee_c37_46_2010</x:v>
      </x:c>
      <x:c r="B14" s="14" t="str">
        <x:v>IEEE Standards Association</x:v>
      </x:c>
      <x:c r="C14" s="14" t="str">
        <x:v>IEEE C37.46-2010 - IEEE Standard Specifications for High-Voltage (&gt;1000 V) Expulsion and Current-Limiting Power Class Fuses and Fuse Disconnecting Switches</x:v>
      </x:c>
      <x:c r="D14" s="14" t="str">
        <x:v>IEEE C37.46-2010</x:v>
      </x:c>
      <x:c r="E14" s="14" t="str">
        <x:v>2010-10-29</x:v>
      </x:c>
      <x:c r="F14" s="14" t="str">
        <x:v>standards</x:v>
      </x:c>
      <x:c r="G14" s="14" t="str">
        <x:v>Final C37.46 edition. IEEE identifies it as superseded by C37.42-2016; the manufacturer TCC publications nevertheless cite C37.46 without an edition.</x:v>
      </x:c>
      <x:c r="H14" s="14" t="str">
        <x:v>https://standards.ieee.org/ieee/C37.46/4619/</x:v>
      </x:c>
    </x:row>
  </x:sheetData>
  <x:mergeCells>
    <x:mergeCell ref="A1:H1"/>
    <x:mergeCell ref="A2:H2"/>
  </x:mergeCells>
  <x:pageMargins left="0.7" right="0.7" top="0.75" bottom="0.75" header="0.3" footer="0.3"/>
</x:worksheet>
</file>